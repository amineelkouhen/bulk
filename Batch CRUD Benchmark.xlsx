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Graphs" sheetId="2" r:id="rId5"/>
  </sheets>
  <definedNames/>
  <calcPr/>
</workbook>
</file>

<file path=xl/sharedStrings.xml><?xml version="1.0" encoding="utf-8"?>
<sst xmlns="http://schemas.openxmlformats.org/spreadsheetml/2006/main" count="149" uniqueCount="41">
  <si>
    <t>Normal Execution - No Partitions - No Multi threads</t>
  </si>
  <si>
    <t>Batch Size</t>
  </si>
  <si>
    <t>CRDB (Mono-Threaded)</t>
  </si>
  <si>
    <t>RDS PG</t>
  </si>
  <si>
    <t>Cloud SQL PG</t>
  </si>
  <si>
    <t>Insert</t>
  </si>
  <si>
    <t>Update</t>
  </si>
  <si>
    <t>Delete</t>
  </si>
  <si>
    <t>Mixed CRUD</t>
  </si>
  <si>
    <t>DB2</t>
  </si>
  <si>
    <t>Oracle</t>
  </si>
  <si>
    <t>SQL Server</t>
  </si>
  <si>
    <t>∞</t>
  </si>
  <si>
    <t>Parallel Execution - with Partitions &amp; Multi threads</t>
  </si>
  <si>
    <t>CRDB 5-Nodes Single-Region Multi-AZ Cluster (Multi-Threaded)</t>
  </si>
  <si>
    <t>AWS RDS PG  5 Range-Partitions (Multi-Threaded)</t>
  </si>
  <si>
    <t>GCP Cloud SQL PG  5 Range-Partitions (Multi-Threaded)</t>
  </si>
  <si>
    <t>CRDB 3-Nodes Single-Region Multi-AZ Cluster (Multi-Threaded)</t>
  </si>
  <si>
    <t>100K recs</t>
  </si>
  <si>
    <t>CRDB quicker by</t>
  </si>
  <si>
    <t>* Machine Setup: 4vCPU, Memory 16GB</t>
  </si>
  <si>
    <t>* Machine Setup: 2vCPU, Memory 8GB</t>
  </si>
  <si>
    <t>Others worse by</t>
  </si>
  <si>
    <t>1M recs</t>
  </si>
  <si>
    <t>CRDB Quicker by</t>
  </si>
  <si>
    <t>CRDB 9-Nodes Multi-Region Cluster (Multi-Threaded)</t>
  </si>
  <si>
    <t>* 9-Node cluster deployed in us-east-1, eu-west-3, and ap-northeast-1</t>
  </si>
  <si>
    <t>* 9-Node cluster deployed in us-east-1, us-east-2, and us-west-2 (weighted policy)</t>
  </si>
  <si>
    <t>* 9-Node cluster deployed in us-east-1, us-east-2, and us-west-2 (geoproximity policy)</t>
  </si>
  <si>
    <t>DB2 Partitioned (Multi-Threaded)</t>
  </si>
  <si>
    <t>Oracle Partitioned (Multi-Threaded)</t>
  </si>
  <si>
    <t>SQL Server Partitioned (Multi-Threaded)</t>
  </si>
  <si>
    <t>100K - CRDB Quicker by</t>
  </si>
  <si>
    <t>100K Other DBs worse by</t>
  </si>
  <si>
    <t>1M CRDB quicker by</t>
  </si>
  <si>
    <t>* Machine Setup: 8vCPU, Memory 32GB, Disk GP3 200GB</t>
  </si>
  <si>
    <t>* Deployment setup: Multi-AZ in us-east-1</t>
  </si>
  <si>
    <t>* Client Setup: Apple M3 Pro (6 CPU Cores, 18GB Memory)</t>
  </si>
  <si>
    <t>CRDB</t>
  </si>
  <si>
    <t>CloudSQL PG</t>
  </si>
  <si>
    <t>Db2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</si>
</sst>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rgb="FFFF0000"/>
      <name val="Arial"/>
      <scheme val="minor"/>
    </font>
    <font>
      <color theme="1"/>
      <name val="Arial"/>
    </font>
    <font>
      <color rgb="FF38761D"/>
      <name val="Arial"/>
      <scheme val="minor"/>
    </font>
    <font>
      <b/>
      <color rgb="FF38761D"/>
      <name val="Arial"/>
      <scheme val="minor"/>
    </font>
    <font>
      <b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8" fillId="0" fontId="3" numFmtId="0" xfId="0" applyAlignment="1" applyBorder="1" applyFont="1">
      <alignment horizontal="center" readingOrder="0" vertical="center"/>
    </xf>
    <xf borderId="11" fillId="0" fontId="2" numFmtId="0" xfId="0" applyBorder="1" applyFont="1"/>
    <xf borderId="12" fillId="0" fontId="1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2" fillId="0" fontId="4" numFmtId="9" xfId="0" applyBorder="1" applyFont="1" applyNumberFormat="1"/>
    <xf borderId="7" fillId="0" fontId="5" numFmtId="0" xfId="0" applyAlignment="1" applyBorder="1" applyFont="1">
      <alignment horizontal="center"/>
    </xf>
    <xf borderId="8" fillId="0" fontId="5" numFmtId="0" xfId="0" applyAlignment="1" applyBorder="1" applyFont="1">
      <alignment horizontal="center" readingOrder="0"/>
    </xf>
    <xf borderId="0" fillId="0" fontId="5" numFmtId="0" xfId="0" applyAlignment="1" applyFont="1">
      <alignment vertical="bottom"/>
    </xf>
    <xf borderId="12" fillId="0" fontId="5" numFmtId="0" xfId="0" applyAlignment="1" applyBorder="1" applyFont="1">
      <alignment horizontal="center"/>
    </xf>
    <xf borderId="12" fillId="0" fontId="3" numFmtId="1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right"/>
    </xf>
    <xf borderId="12" fillId="0" fontId="4" numFmtId="9" xfId="0" applyAlignment="1" applyBorder="1" applyFont="1" applyNumberFormat="1">
      <alignment horizontal="right" readingOrder="0" vertical="center"/>
    </xf>
    <xf borderId="12" fillId="0" fontId="6" numFmtId="9" xfId="0" applyAlignment="1" applyBorder="1" applyFont="1" applyNumberFormat="1">
      <alignment horizontal="right"/>
    </xf>
    <xf borderId="12" fillId="0" fontId="4" numFmtId="10" xfId="0" applyAlignment="1" applyBorder="1" applyFont="1" applyNumberFormat="1">
      <alignment horizontal="right" readingOrder="0" vertical="center"/>
    </xf>
    <xf borderId="0" fillId="0" fontId="5" numFmtId="0" xfId="0" applyAlignment="1" applyFont="1">
      <alignment horizontal="right" vertical="bottom"/>
    </xf>
    <xf borderId="12" fillId="0" fontId="1" numFmtId="1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readingOrder="0"/>
    </xf>
    <xf borderId="12" fillId="0" fontId="7" numFmtId="9" xfId="0" applyBorder="1" applyFont="1" applyNumberFormat="1"/>
    <xf borderId="0" fillId="0" fontId="3" numFmtId="9" xfId="0" applyFont="1" applyNumberFormat="1"/>
    <xf borderId="0" fillId="0" fontId="3" numFmtId="1" xfId="0" applyFont="1" applyNumberFormat="1"/>
    <xf borderId="7" fillId="0" fontId="3" numFmtId="0" xfId="0" applyAlignment="1" applyBorder="1" applyFont="1">
      <alignment horizontal="center" readingOrder="0" vertical="center"/>
    </xf>
    <xf borderId="0" fillId="0" fontId="4" numFmtId="1" xfId="0" applyFont="1" applyNumberFormat="1"/>
    <xf borderId="12" fillId="0" fontId="7" numFmtId="10" xfId="0" applyBorder="1" applyFont="1" applyNumberFormat="1"/>
    <xf borderId="12" fillId="0" fontId="8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>
      <c r="A4" s="8" t="s">
        <v>1</v>
      </c>
      <c r="B4" s="9" t="s">
        <v>2</v>
      </c>
      <c r="C4" s="10"/>
      <c r="D4" s="10"/>
      <c r="E4" s="11"/>
      <c r="F4" s="12" t="s">
        <v>3</v>
      </c>
      <c r="G4" s="10"/>
      <c r="H4" s="10"/>
      <c r="I4" s="11"/>
      <c r="J4" s="12" t="s">
        <v>4</v>
      </c>
      <c r="K4" s="10"/>
      <c r="L4" s="10"/>
      <c r="M4" s="11"/>
    </row>
    <row r="5">
      <c r="A5" s="13"/>
      <c r="B5" s="14" t="s">
        <v>5</v>
      </c>
      <c r="C5" s="14" t="s">
        <v>6</v>
      </c>
      <c r="D5" s="14" t="s">
        <v>7</v>
      </c>
      <c r="E5" s="14" t="s">
        <v>8</v>
      </c>
      <c r="F5" s="15" t="s">
        <v>5</v>
      </c>
      <c r="G5" s="15" t="s">
        <v>6</v>
      </c>
      <c r="H5" s="15" t="s">
        <v>7</v>
      </c>
      <c r="I5" s="15" t="s">
        <v>8</v>
      </c>
      <c r="J5" s="15" t="s">
        <v>5</v>
      </c>
      <c r="K5" s="15" t="s">
        <v>6</v>
      </c>
      <c r="L5" s="15" t="s">
        <v>7</v>
      </c>
      <c r="M5" s="15" t="s">
        <v>8</v>
      </c>
    </row>
    <row r="6">
      <c r="A6" s="14">
        <v>100.0</v>
      </c>
      <c r="B6" s="14">
        <v>415.0</v>
      </c>
      <c r="C6" s="14">
        <v>412.0</v>
      </c>
      <c r="D6" s="14">
        <v>441.0</v>
      </c>
      <c r="E6" s="14">
        <v>378.0</v>
      </c>
      <c r="F6" s="15">
        <v>374.0</v>
      </c>
      <c r="G6" s="15">
        <v>373.0</v>
      </c>
      <c r="H6" s="15">
        <v>350.0</v>
      </c>
      <c r="I6" s="15">
        <v>241.0</v>
      </c>
      <c r="J6" s="15">
        <v>413.0</v>
      </c>
      <c r="K6" s="15">
        <v>439.0</v>
      </c>
      <c r="L6" s="15">
        <v>301.0</v>
      </c>
      <c r="M6" s="15">
        <v>294.0</v>
      </c>
    </row>
    <row r="7">
      <c r="A7" s="14">
        <v>1000.0</v>
      </c>
      <c r="B7" s="14">
        <v>2250.0</v>
      </c>
      <c r="C7" s="14">
        <v>2560.0</v>
      </c>
      <c r="D7" s="14">
        <v>2419.0</v>
      </c>
      <c r="E7" s="14">
        <v>2825.0</v>
      </c>
      <c r="F7" s="15">
        <v>1025.0</v>
      </c>
      <c r="G7" s="15">
        <v>879.0</v>
      </c>
      <c r="H7" s="15">
        <v>824.0</v>
      </c>
      <c r="I7" s="15">
        <v>967.0</v>
      </c>
      <c r="J7" s="15">
        <v>1290.0</v>
      </c>
      <c r="K7" s="15">
        <v>1214.0</v>
      </c>
      <c r="L7" s="15">
        <v>930.0</v>
      </c>
      <c r="M7" s="15">
        <v>1112.0</v>
      </c>
    </row>
    <row r="8">
      <c r="A8" s="14">
        <v>10000.0</v>
      </c>
      <c r="B8" s="14">
        <v>21247.0</v>
      </c>
      <c r="C8" s="14">
        <v>22137.0</v>
      </c>
      <c r="D8" s="14">
        <v>22936.0</v>
      </c>
      <c r="E8" s="14">
        <v>18685.0</v>
      </c>
      <c r="F8" s="15">
        <v>6944.0</v>
      </c>
      <c r="G8" s="15">
        <v>6338.0</v>
      </c>
      <c r="H8" s="15">
        <v>6487.0</v>
      </c>
      <c r="I8" s="15">
        <v>6095.0</v>
      </c>
      <c r="J8" s="15">
        <v>7497.0</v>
      </c>
      <c r="K8" s="15">
        <v>7283.0</v>
      </c>
      <c r="L8" s="15">
        <v>6653.0</v>
      </c>
      <c r="M8" s="15">
        <v>7688.0</v>
      </c>
    </row>
    <row r="9">
      <c r="A9" s="14">
        <v>100000.0</v>
      </c>
      <c r="B9" s="14">
        <v>143625.0</v>
      </c>
      <c r="C9" s="14">
        <v>138173.0</v>
      </c>
      <c r="D9" s="14">
        <v>185398.0</v>
      </c>
      <c r="E9" s="14">
        <v>169809.0</v>
      </c>
      <c r="F9" s="15">
        <v>87046.0</v>
      </c>
      <c r="G9" s="15">
        <v>85041.0</v>
      </c>
      <c r="H9" s="15">
        <v>76489.0</v>
      </c>
      <c r="I9" s="15">
        <v>65857.0</v>
      </c>
      <c r="J9" s="15">
        <v>89316.0</v>
      </c>
      <c r="K9" s="15">
        <v>89583.0</v>
      </c>
      <c r="L9" s="15">
        <v>87314.0</v>
      </c>
      <c r="M9" s="15">
        <v>84960.0</v>
      </c>
    </row>
    <row r="10">
      <c r="F10" s="16"/>
      <c r="G10" s="16"/>
      <c r="H10" s="16"/>
      <c r="I10" s="16"/>
      <c r="J10" s="16"/>
      <c r="K10" s="16"/>
      <c r="L10" s="16"/>
      <c r="M10" s="16"/>
    </row>
    <row r="12">
      <c r="A12" s="17" t="s">
        <v>1</v>
      </c>
      <c r="B12" s="18" t="s">
        <v>9</v>
      </c>
      <c r="C12" s="10"/>
      <c r="D12" s="10"/>
      <c r="E12" s="11"/>
      <c r="F12" s="18" t="s">
        <v>10</v>
      </c>
      <c r="G12" s="10"/>
      <c r="H12" s="10"/>
      <c r="I12" s="11"/>
      <c r="J12" s="18" t="s">
        <v>11</v>
      </c>
      <c r="K12" s="10"/>
      <c r="L12" s="10"/>
      <c r="M12" s="11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>
      <c r="A13" s="13"/>
      <c r="B13" s="20" t="s">
        <v>5</v>
      </c>
      <c r="C13" s="20" t="s">
        <v>6</v>
      </c>
      <c r="D13" s="20" t="s">
        <v>7</v>
      </c>
      <c r="E13" s="20" t="s">
        <v>8</v>
      </c>
      <c r="F13" s="20" t="s">
        <v>5</v>
      </c>
      <c r="G13" s="20" t="s">
        <v>6</v>
      </c>
      <c r="H13" s="20" t="s">
        <v>7</v>
      </c>
      <c r="I13" s="20" t="s">
        <v>8</v>
      </c>
      <c r="J13" s="20" t="s">
        <v>5</v>
      </c>
      <c r="K13" s="20" t="s">
        <v>6</v>
      </c>
      <c r="L13" s="20" t="s">
        <v>7</v>
      </c>
      <c r="M13" s="20" t="s">
        <v>8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>
      <c r="A14" s="20">
        <v>100.0</v>
      </c>
      <c r="B14" s="15">
        <v>320.0</v>
      </c>
      <c r="C14" s="15">
        <v>356.0</v>
      </c>
      <c r="D14" s="15">
        <v>319.0</v>
      </c>
      <c r="E14" s="15">
        <v>320.0</v>
      </c>
      <c r="F14" s="15">
        <v>12132.0</v>
      </c>
      <c r="G14" s="15">
        <v>14424.0</v>
      </c>
      <c r="H14" s="15">
        <v>13175.0</v>
      </c>
      <c r="I14" s="21">
        <f t="shared" ref="I14:I16" si="1">AVERAGE(F14:H14)</f>
        <v>13243.66667</v>
      </c>
      <c r="J14" s="15">
        <v>379.0</v>
      </c>
      <c r="K14" s="15">
        <v>363.0</v>
      </c>
      <c r="L14" s="15">
        <v>371.0</v>
      </c>
      <c r="M14" s="21">
        <f t="shared" ref="M14:M17" si="2">AVERAGE(J14:L14)</f>
        <v>371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>
      <c r="A15" s="20">
        <v>1000.0</v>
      </c>
      <c r="B15" s="15">
        <v>1814.0</v>
      </c>
      <c r="C15" s="15">
        <v>1917.0</v>
      </c>
      <c r="D15" s="15">
        <v>1664.0</v>
      </c>
      <c r="E15" s="15">
        <v>1415.0</v>
      </c>
      <c r="F15" s="15">
        <v>118938.0</v>
      </c>
      <c r="G15" s="15">
        <v>121854.0</v>
      </c>
      <c r="H15" s="15">
        <v>118933.0</v>
      </c>
      <c r="I15" s="21">
        <f t="shared" si="1"/>
        <v>119908.3333</v>
      </c>
      <c r="J15" s="15">
        <v>862.0</v>
      </c>
      <c r="K15" s="15">
        <v>837.0</v>
      </c>
      <c r="L15" s="15">
        <v>736.0</v>
      </c>
      <c r="M15" s="21">
        <f t="shared" si="2"/>
        <v>811.6666667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>
      <c r="A16" s="20">
        <v>10000.0</v>
      </c>
      <c r="B16" s="15">
        <v>15709.0</v>
      </c>
      <c r="C16" s="15">
        <v>13521.0</v>
      </c>
      <c r="D16" s="15">
        <v>12182.0</v>
      </c>
      <c r="E16" s="15">
        <v>11045.0</v>
      </c>
      <c r="F16" s="15">
        <v>1123956.0</v>
      </c>
      <c r="G16" s="15">
        <v>1236454.0</v>
      </c>
      <c r="H16" s="15">
        <v>1102764.0</v>
      </c>
      <c r="I16" s="21">
        <f t="shared" si="1"/>
        <v>1154391.333</v>
      </c>
      <c r="J16" s="15">
        <v>2102.0</v>
      </c>
      <c r="K16" s="15">
        <v>2022.0</v>
      </c>
      <c r="L16" s="15">
        <v>2097.0</v>
      </c>
      <c r="M16" s="21">
        <f t="shared" si="2"/>
        <v>2073.666667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>
      <c r="A17" s="20">
        <v>100000.0</v>
      </c>
      <c r="B17" s="15">
        <v>129320.0</v>
      </c>
      <c r="C17" s="15">
        <v>144333.0</v>
      </c>
      <c r="D17" s="15">
        <v>127070.0</v>
      </c>
      <c r="E17" s="15">
        <v>112096.0</v>
      </c>
      <c r="F17" s="15" t="s">
        <v>12</v>
      </c>
      <c r="G17" s="15" t="s">
        <v>12</v>
      </c>
      <c r="H17" s="15" t="s">
        <v>12</v>
      </c>
      <c r="I17" s="15" t="s">
        <v>12</v>
      </c>
      <c r="J17" s="15">
        <v>18874.0</v>
      </c>
      <c r="K17" s="15">
        <v>17422.0</v>
      </c>
      <c r="L17" s="15">
        <v>18520.0</v>
      </c>
      <c r="M17" s="21">
        <f t="shared" si="2"/>
        <v>18272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>
      <c r="A18" s="22"/>
      <c r="B18" s="23"/>
      <c r="C18" s="24"/>
      <c r="D18" s="23"/>
      <c r="E18" s="23"/>
      <c r="F18" s="24"/>
      <c r="G18" s="24"/>
      <c r="H18" s="24"/>
      <c r="I18" s="24"/>
      <c r="J18" s="23"/>
      <c r="K18" s="23"/>
      <c r="L18" s="25"/>
      <c r="M18" s="23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>
      <c r="A20" s="1" t="s">
        <v>13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>
      <c r="A23" s="8" t="s">
        <v>1</v>
      </c>
      <c r="B23" s="9" t="s">
        <v>14</v>
      </c>
      <c r="C23" s="10"/>
      <c r="D23" s="10"/>
      <c r="E23" s="11"/>
      <c r="F23" s="12" t="s">
        <v>15</v>
      </c>
      <c r="G23" s="10"/>
      <c r="H23" s="10"/>
      <c r="I23" s="11"/>
      <c r="J23" s="12" t="s">
        <v>16</v>
      </c>
      <c r="K23" s="10"/>
      <c r="L23" s="10"/>
      <c r="M23" s="11"/>
      <c r="O23" s="8" t="s">
        <v>1</v>
      </c>
      <c r="P23" s="9" t="s">
        <v>17</v>
      </c>
      <c r="Q23" s="10"/>
      <c r="R23" s="10"/>
      <c r="S23" s="11"/>
      <c r="U23" s="8" t="s">
        <v>1</v>
      </c>
      <c r="V23" s="9" t="s">
        <v>14</v>
      </c>
      <c r="W23" s="10"/>
      <c r="X23" s="10"/>
      <c r="Y23" s="11"/>
    </row>
    <row r="24">
      <c r="A24" s="13"/>
      <c r="B24" s="14" t="s">
        <v>5</v>
      </c>
      <c r="C24" s="14" t="s">
        <v>6</v>
      </c>
      <c r="D24" s="14" t="s">
        <v>7</v>
      </c>
      <c r="E24" s="14" t="s">
        <v>8</v>
      </c>
      <c r="F24" s="15" t="s">
        <v>5</v>
      </c>
      <c r="G24" s="15" t="s">
        <v>6</v>
      </c>
      <c r="H24" s="15" t="s">
        <v>7</v>
      </c>
      <c r="I24" s="15" t="s">
        <v>8</v>
      </c>
      <c r="J24" s="15" t="s">
        <v>5</v>
      </c>
      <c r="K24" s="15" t="s">
        <v>6</v>
      </c>
      <c r="L24" s="15" t="s">
        <v>7</v>
      </c>
      <c r="M24" s="15" t="s">
        <v>8</v>
      </c>
      <c r="O24" s="13"/>
      <c r="P24" s="14" t="s">
        <v>5</v>
      </c>
      <c r="Q24" s="14" t="s">
        <v>6</v>
      </c>
      <c r="R24" s="14" t="s">
        <v>7</v>
      </c>
      <c r="S24" s="14" t="s">
        <v>8</v>
      </c>
      <c r="U24" s="13"/>
      <c r="V24" s="14" t="s">
        <v>5</v>
      </c>
      <c r="W24" s="14" t="s">
        <v>6</v>
      </c>
      <c r="X24" s="14" t="s">
        <v>7</v>
      </c>
      <c r="Y24" s="14" t="s">
        <v>8</v>
      </c>
    </row>
    <row r="25">
      <c r="A25" s="14">
        <v>100.0</v>
      </c>
      <c r="B25" s="14">
        <v>297.0</v>
      </c>
      <c r="C25" s="14">
        <v>291.0</v>
      </c>
      <c r="D25" s="14">
        <v>333.0</v>
      </c>
      <c r="E25" s="14">
        <v>365.0</v>
      </c>
      <c r="F25" s="15">
        <v>1184.0</v>
      </c>
      <c r="G25" s="15">
        <v>1063.0</v>
      </c>
      <c r="H25" s="15">
        <v>1224.0</v>
      </c>
      <c r="I25" s="15">
        <v>1291.0</v>
      </c>
      <c r="J25" s="15">
        <v>994.0</v>
      </c>
      <c r="K25" s="15">
        <v>1117.0</v>
      </c>
      <c r="L25" s="15">
        <v>934.0</v>
      </c>
      <c r="M25" s="15">
        <v>1132.0</v>
      </c>
      <c r="O25" s="14">
        <v>100.0</v>
      </c>
      <c r="P25" s="14">
        <v>427.0</v>
      </c>
      <c r="Q25" s="14">
        <v>452.0</v>
      </c>
      <c r="R25" s="14">
        <v>447.0</v>
      </c>
      <c r="S25" s="14">
        <v>512.0</v>
      </c>
      <c r="U25" s="14">
        <v>100.0</v>
      </c>
      <c r="V25" s="14">
        <v>458.0</v>
      </c>
      <c r="W25" s="14">
        <v>426.0</v>
      </c>
      <c r="X25" s="14">
        <v>408.0</v>
      </c>
      <c r="Y25" s="14">
        <v>419.0</v>
      </c>
    </row>
    <row r="26">
      <c r="A26" s="14">
        <v>1000.0</v>
      </c>
      <c r="B26" s="14">
        <v>698.0</v>
      </c>
      <c r="C26" s="14">
        <v>743.0</v>
      </c>
      <c r="D26" s="14">
        <v>750.0</v>
      </c>
      <c r="E26" s="14">
        <v>731.0</v>
      </c>
      <c r="F26" s="15">
        <v>1571.0</v>
      </c>
      <c r="G26" s="15">
        <v>1410.0</v>
      </c>
      <c r="H26" s="15">
        <v>1453.0</v>
      </c>
      <c r="I26" s="15">
        <v>1642.0</v>
      </c>
      <c r="J26" s="15">
        <v>1340.0</v>
      </c>
      <c r="K26" s="15">
        <v>1434.0</v>
      </c>
      <c r="L26" s="15">
        <v>1425.0</v>
      </c>
      <c r="M26" s="15">
        <v>1594.0</v>
      </c>
      <c r="O26" s="14">
        <v>1000.0</v>
      </c>
      <c r="P26" s="14">
        <v>1025.0</v>
      </c>
      <c r="Q26" s="14">
        <v>1487.0</v>
      </c>
      <c r="R26" s="14">
        <v>1072.0</v>
      </c>
      <c r="S26" s="14">
        <v>1225.0</v>
      </c>
      <c r="U26" s="14">
        <v>1000.0</v>
      </c>
      <c r="V26" s="14">
        <v>1541.0</v>
      </c>
      <c r="W26" s="14">
        <v>1673.0</v>
      </c>
      <c r="X26" s="14">
        <v>1668.0</v>
      </c>
      <c r="Y26" s="14">
        <v>1610.0</v>
      </c>
    </row>
    <row r="27">
      <c r="A27" s="14">
        <v>10000.0</v>
      </c>
      <c r="B27" s="14">
        <v>4945.0</v>
      </c>
      <c r="C27" s="14">
        <v>4266.0</v>
      </c>
      <c r="D27" s="14">
        <v>4872.0</v>
      </c>
      <c r="E27" s="14">
        <v>5316.0</v>
      </c>
      <c r="F27" s="15">
        <v>7230.0</v>
      </c>
      <c r="G27" s="15">
        <v>7602.0</v>
      </c>
      <c r="H27" s="15">
        <v>7170.0</v>
      </c>
      <c r="I27" s="15">
        <v>8623.0</v>
      </c>
      <c r="J27" s="15">
        <v>7237.0</v>
      </c>
      <c r="K27" s="15">
        <v>7837.0</v>
      </c>
      <c r="L27" s="15">
        <v>7115.0</v>
      </c>
      <c r="M27" s="15">
        <v>7572.0</v>
      </c>
      <c r="O27" s="14">
        <v>10000.0</v>
      </c>
      <c r="P27" s="14">
        <v>6415.0</v>
      </c>
      <c r="Q27" s="14">
        <v>8092.0</v>
      </c>
      <c r="R27" s="14">
        <v>9233.0</v>
      </c>
      <c r="S27" s="14">
        <v>9002.0</v>
      </c>
      <c r="U27" s="14">
        <v>10000.0</v>
      </c>
      <c r="V27" s="14">
        <v>8307.0</v>
      </c>
      <c r="W27" s="14">
        <v>8601.0</v>
      </c>
      <c r="X27" s="14">
        <v>8504.0</v>
      </c>
      <c r="Y27" s="14">
        <v>8770.0</v>
      </c>
    </row>
    <row r="28">
      <c r="A28" s="14">
        <v>100000.0</v>
      </c>
      <c r="B28" s="14">
        <v>52645.0</v>
      </c>
      <c r="C28" s="14">
        <v>46753.0</v>
      </c>
      <c r="D28" s="14">
        <v>55758.0</v>
      </c>
      <c r="E28" s="14">
        <v>53402.0</v>
      </c>
      <c r="F28" s="15">
        <v>64654.0</v>
      </c>
      <c r="G28" s="15">
        <v>68393.0</v>
      </c>
      <c r="H28" s="15">
        <v>65397.0</v>
      </c>
      <c r="I28" s="15">
        <v>69672.0</v>
      </c>
      <c r="J28" s="15">
        <v>62042.0</v>
      </c>
      <c r="K28" s="15">
        <v>69399.0</v>
      </c>
      <c r="L28" s="15">
        <v>61291.0</v>
      </c>
      <c r="M28" s="15">
        <v>71779.0</v>
      </c>
      <c r="O28" s="14">
        <v>100000.0</v>
      </c>
      <c r="P28" s="14">
        <v>67811.0</v>
      </c>
      <c r="Q28" s="14">
        <v>72824.0</v>
      </c>
      <c r="R28" s="14">
        <v>88320.0</v>
      </c>
      <c r="S28" s="14">
        <v>74174.0</v>
      </c>
      <c r="U28" s="14">
        <v>100000.0</v>
      </c>
      <c r="V28" s="14">
        <v>74649.0</v>
      </c>
      <c r="W28" s="14">
        <v>75425.0</v>
      </c>
      <c r="X28" s="14">
        <v>75798.0</v>
      </c>
      <c r="Y28" s="14">
        <v>78684.0</v>
      </c>
    </row>
    <row r="29">
      <c r="A29" s="14">
        <v>1000000.0</v>
      </c>
      <c r="B29" s="14">
        <v>452144.0</v>
      </c>
      <c r="C29" s="14">
        <v>412353.0</v>
      </c>
      <c r="D29" s="14">
        <v>492762.0</v>
      </c>
      <c r="E29" s="14">
        <v>489674.0</v>
      </c>
      <c r="F29" s="15">
        <v>597261.0</v>
      </c>
      <c r="G29" s="15">
        <v>619365.0</v>
      </c>
      <c r="H29" s="15">
        <v>607462.0</v>
      </c>
      <c r="I29" s="15">
        <v>648274.0</v>
      </c>
      <c r="J29" s="15">
        <v>610385.0</v>
      </c>
      <c r="K29" s="15">
        <v>640286.0</v>
      </c>
      <c r="L29" s="15">
        <v>592012.0</v>
      </c>
      <c r="M29" s="15">
        <v>683927.0</v>
      </c>
      <c r="O29" s="14">
        <v>1000000.0</v>
      </c>
      <c r="P29" s="14">
        <v>658145.0</v>
      </c>
      <c r="Q29" s="14">
        <v>686922.0</v>
      </c>
      <c r="R29" s="14">
        <v>720278.0</v>
      </c>
      <c r="S29" s="14">
        <v>703638.0</v>
      </c>
      <c r="U29" s="14">
        <v>1000000.0</v>
      </c>
      <c r="V29" s="27">
        <v>693253.0</v>
      </c>
      <c r="W29" s="27">
        <v>684324.0</v>
      </c>
      <c r="X29" s="27">
        <v>698978.0</v>
      </c>
      <c r="Y29" s="27">
        <v>729244.0</v>
      </c>
    </row>
    <row r="30">
      <c r="D30" s="28" t="s">
        <v>18</v>
      </c>
      <c r="E30" s="28" t="s">
        <v>19</v>
      </c>
      <c r="F30" s="29">
        <f t="shared" ref="F30:I30" si="3">(F28-B$28)/F28</f>
        <v>0.1857425681</v>
      </c>
      <c r="G30" s="29">
        <f t="shared" si="3"/>
        <v>0.3164066498</v>
      </c>
      <c r="H30" s="29">
        <f t="shared" si="3"/>
        <v>0.1473920822</v>
      </c>
      <c r="I30" s="29">
        <f t="shared" si="3"/>
        <v>0.2335227925</v>
      </c>
      <c r="J30" s="29">
        <f>(J28-$B28)/J28</f>
        <v>0.1514619129</v>
      </c>
      <c r="K30" s="29">
        <f>(K28-$C28)/K28</f>
        <v>0.3263159412</v>
      </c>
      <c r="L30" s="29">
        <f>(L28-$D28)/L28</f>
        <v>0.09027426539</v>
      </c>
      <c r="M30" s="29">
        <f>(M28-$E28)/M28</f>
        <v>0.2560219563</v>
      </c>
      <c r="P30" s="28" t="s">
        <v>20</v>
      </c>
      <c r="V30" s="28" t="s">
        <v>21</v>
      </c>
    </row>
    <row r="31">
      <c r="D31" s="28" t="s">
        <v>18</v>
      </c>
      <c r="E31" s="28" t="s">
        <v>22</v>
      </c>
      <c r="F31" s="30">
        <f>(F28-$B$28)/$B$28</f>
        <v>0.2281128312</v>
      </c>
      <c r="G31" s="30">
        <f>(G28-$C$28)/$C$28</f>
        <v>0.4628579984</v>
      </c>
      <c r="H31" s="30">
        <f>(H28-$D$28)/$D$28</f>
        <v>0.1728720542</v>
      </c>
      <c r="I31" s="30">
        <f>(I28-$E$28)/$E$28</f>
        <v>0.3046702371</v>
      </c>
      <c r="J31" s="30">
        <f>(J28-$B$28)/$B$28</f>
        <v>0.1784974831</v>
      </c>
      <c r="K31" s="30">
        <f>(K28-$C$28)/$C$28</f>
        <v>0.4843753342</v>
      </c>
      <c r="L31" s="30">
        <f>(L28-$D$28)/$D$28</f>
        <v>0.09923239714</v>
      </c>
      <c r="M31" s="30">
        <f>(M28-$E$28)/$E$28</f>
        <v>0.3441256882</v>
      </c>
    </row>
    <row r="32">
      <c r="D32" s="28" t="s">
        <v>23</v>
      </c>
      <c r="E32" s="28" t="s">
        <v>24</v>
      </c>
      <c r="F32" s="30">
        <f t="shared" ref="F32:I32" si="4">(F29-B$29)/F29</f>
        <v>0.2429708285</v>
      </c>
      <c r="G32" s="30">
        <f t="shared" si="4"/>
        <v>0.3342326415</v>
      </c>
      <c r="H32" s="30">
        <f t="shared" si="4"/>
        <v>0.1888183952</v>
      </c>
      <c r="I32" s="30">
        <f t="shared" si="4"/>
        <v>0.2446496389</v>
      </c>
      <c r="J32" s="30">
        <f t="shared" ref="J32:M32" si="5">(J29-$B29)/J29</f>
        <v>0.2592478518</v>
      </c>
      <c r="K32" s="30">
        <f t="shared" si="5"/>
        <v>0.293840565</v>
      </c>
      <c r="L32" s="30">
        <f t="shared" si="5"/>
        <v>0.2362587245</v>
      </c>
      <c r="M32" s="30">
        <f t="shared" si="5"/>
        <v>0.3389002043</v>
      </c>
      <c r="V32" s="31"/>
      <c r="W32" s="31"/>
      <c r="X32" s="31"/>
      <c r="Y32" s="31"/>
    </row>
    <row r="33">
      <c r="F33" s="30"/>
      <c r="G33" s="30"/>
      <c r="H33" s="30"/>
    </row>
    <row r="34">
      <c r="A34" s="32" t="s">
        <v>1</v>
      </c>
      <c r="B34" s="12" t="s">
        <v>25</v>
      </c>
      <c r="C34" s="10"/>
      <c r="D34" s="10"/>
      <c r="E34" s="11"/>
      <c r="I34" s="32" t="s">
        <v>1</v>
      </c>
      <c r="J34" s="12" t="s">
        <v>25</v>
      </c>
      <c r="K34" s="10"/>
      <c r="L34" s="10"/>
      <c r="M34" s="11"/>
      <c r="O34" s="32" t="s">
        <v>1</v>
      </c>
      <c r="P34" s="12" t="s">
        <v>25</v>
      </c>
      <c r="Q34" s="10"/>
      <c r="R34" s="10"/>
      <c r="S34" s="11"/>
    </row>
    <row r="35">
      <c r="A35" s="13"/>
      <c r="B35" s="15" t="s">
        <v>5</v>
      </c>
      <c r="C35" s="15" t="s">
        <v>6</v>
      </c>
      <c r="D35" s="15" t="s">
        <v>7</v>
      </c>
      <c r="E35" s="15" t="s">
        <v>8</v>
      </c>
      <c r="I35" s="13"/>
      <c r="J35" s="15" t="s">
        <v>5</v>
      </c>
      <c r="K35" s="15" t="s">
        <v>6</v>
      </c>
      <c r="L35" s="15" t="s">
        <v>7</v>
      </c>
      <c r="M35" s="15" t="s">
        <v>8</v>
      </c>
      <c r="O35" s="13"/>
      <c r="P35" s="15" t="s">
        <v>5</v>
      </c>
      <c r="Q35" s="15" t="s">
        <v>6</v>
      </c>
      <c r="R35" s="15" t="s">
        <v>7</v>
      </c>
      <c r="S35" s="15" t="s">
        <v>8</v>
      </c>
    </row>
    <row r="36">
      <c r="A36" s="15">
        <v>100.0</v>
      </c>
      <c r="B36" s="15">
        <v>6230.0</v>
      </c>
      <c r="C36" s="15">
        <v>5977.0</v>
      </c>
      <c r="D36" s="15">
        <v>6427.0</v>
      </c>
      <c r="E36" s="15">
        <v>6610.0</v>
      </c>
      <c r="I36" s="15">
        <v>100.0</v>
      </c>
      <c r="J36" s="15">
        <v>1035.0</v>
      </c>
      <c r="K36" s="15">
        <v>1224.0</v>
      </c>
      <c r="L36" s="15">
        <v>1300.0</v>
      </c>
      <c r="M36" s="15">
        <v>1346.0</v>
      </c>
      <c r="O36" s="15">
        <v>100.0</v>
      </c>
      <c r="P36" s="15">
        <v>616.0</v>
      </c>
      <c r="Q36" s="15">
        <v>607.0</v>
      </c>
      <c r="R36" s="15">
        <v>651.0</v>
      </c>
      <c r="S36" s="15">
        <v>639.0</v>
      </c>
    </row>
    <row r="37">
      <c r="A37" s="15">
        <v>1000.0</v>
      </c>
      <c r="B37" s="15">
        <v>21375.0</v>
      </c>
      <c r="C37" s="15">
        <v>21167.0</v>
      </c>
      <c r="D37" s="15">
        <v>21547.0</v>
      </c>
      <c r="E37" s="15">
        <v>21386.0</v>
      </c>
      <c r="I37" s="15">
        <v>1000.0</v>
      </c>
      <c r="J37" s="15">
        <v>7083.0</v>
      </c>
      <c r="K37" s="15">
        <v>7247.0</v>
      </c>
      <c r="L37" s="15">
        <v>7292.0</v>
      </c>
      <c r="M37" s="15">
        <v>7379.0</v>
      </c>
      <c r="O37" s="15">
        <v>1000.0</v>
      </c>
      <c r="P37" s="15">
        <v>2463.0</v>
      </c>
      <c r="Q37" s="15">
        <v>2582.0</v>
      </c>
      <c r="R37" s="15">
        <v>2597.0</v>
      </c>
      <c r="S37" s="15">
        <v>2905.0</v>
      </c>
    </row>
    <row r="38">
      <c r="A38" s="15">
        <v>10000.0</v>
      </c>
      <c r="B38" s="15">
        <v>171293.0</v>
      </c>
      <c r="C38" s="15">
        <v>174318.0</v>
      </c>
      <c r="D38" s="15">
        <v>176803.0</v>
      </c>
      <c r="E38" s="15">
        <v>175375.0</v>
      </c>
      <c r="I38" s="15">
        <v>10000.0</v>
      </c>
      <c r="J38" s="15">
        <v>75156.0</v>
      </c>
      <c r="K38" s="15">
        <v>76036.0</v>
      </c>
      <c r="L38" s="15">
        <v>75967.0</v>
      </c>
      <c r="M38" s="15">
        <v>76481.0</v>
      </c>
      <c r="O38" s="15">
        <v>10000.0</v>
      </c>
      <c r="P38" s="15">
        <v>13421.0</v>
      </c>
      <c r="Q38" s="15">
        <v>15252.0</v>
      </c>
      <c r="R38" s="15">
        <v>16302.0</v>
      </c>
      <c r="S38" s="15">
        <v>17189.0</v>
      </c>
    </row>
    <row r="39">
      <c r="A39" s="15">
        <v>100000.0</v>
      </c>
      <c r="B39" s="15">
        <v>1633869.0</v>
      </c>
      <c r="C39" s="15">
        <v>1674635.0</v>
      </c>
      <c r="D39" s="15">
        <v>1656332.0</v>
      </c>
      <c r="E39" s="15">
        <v>1686974.0</v>
      </c>
      <c r="I39" s="15">
        <v>100000.0</v>
      </c>
      <c r="J39" s="15">
        <v>750802.0</v>
      </c>
      <c r="K39" s="15">
        <v>762041.0</v>
      </c>
      <c r="L39" s="15">
        <v>756176.0</v>
      </c>
      <c r="M39" s="15">
        <v>765877.0</v>
      </c>
      <c r="O39" s="15">
        <v>100000.0</v>
      </c>
      <c r="P39" s="15">
        <v>126851.0</v>
      </c>
      <c r="Q39" s="15">
        <v>131375.0</v>
      </c>
      <c r="R39" s="15">
        <v>142493.0</v>
      </c>
      <c r="S39" s="15">
        <v>140243.0</v>
      </c>
    </row>
    <row r="40">
      <c r="A40" s="15">
        <v>1000000.0</v>
      </c>
      <c r="B40" s="21">
        <v>1.4398047E7</v>
      </c>
      <c r="C40" s="21">
        <v>1.47362346E8</v>
      </c>
      <c r="D40" s="21">
        <v>1.4575775E7</v>
      </c>
      <c r="E40" s="21">
        <v>1.4854374E7</v>
      </c>
      <c r="I40" s="15">
        <v>1000000.0</v>
      </c>
      <c r="J40" s="21">
        <v>7282479.0</v>
      </c>
      <c r="K40" s="21">
        <v>7392797.0</v>
      </c>
      <c r="L40" s="21">
        <v>7337905.0</v>
      </c>
      <c r="M40" s="21">
        <v>7423012.0</v>
      </c>
      <c r="O40" s="15">
        <v>1000000.0</v>
      </c>
      <c r="P40" s="21">
        <v>1188732.0</v>
      </c>
      <c r="Q40" s="21">
        <v>1271498.0</v>
      </c>
      <c r="R40" s="21">
        <v>1356587.0</v>
      </c>
      <c r="S40" s="21">
        <v>1327288.0</v>
      </c>
    </row>
    <row r="41">
      <c r="A41" s="28" t="s">
        <v>26</v>
      </c>
      <c r="I41" s="28" t="s">
        <v>27</v>
      </c>
      <c r="O41" s="28" t="s">
        <v>28</v>
      </c>
    </row>
    <row r="42">
      <c r="B42" s="31"/>
      <c r="C42" s="31"/>
      <c r="D42" s="31"/>
      <c r="E42" s="31"/>
      <c r="J42" s="33"/>
      <c r="K42" s="33"/>
      <c r="L42" s="33"/>
      <c r="M42" s="33"/>
      <c r="P42" s="31"/>
      <c r="Q42" s="31"/>
      <c r="R42" s="31"/>
      <c r="S42" s="31"/>
    </row>
    <row r="44">
      <c r="A44" s="32" t="s">
        <v>1</v>
      </c>
      <c r="B44" s="12" t="s">
        <v>29</v>
      </c>
      <c r="C44" s="10"/>
      <c r="D44" s="10"/>
      <c r="E44" s="11"/>
      <c r="F44" s="12" t="s">
        <v>30</v>
      </c>
      <c r="G44" s="10"/>
      <c r="H44" s="10"/>
      <c r="I44" s="11"/>
      <c r="J44" s="12" t="s">
        <v>31</v>
      </c>
      <c r="K44" s="10"/>
      <c r="L44" s="10"/>
      <c r="M44" s="11"/>
    </row>
    <row r="45">
      <c r="A45" s="13"/>
      <c r="B45" s="15" t="s">
        <v>5</v>
      </c>
      <c r="C45" s="15" t="s">
        <v>6</v>
      </c>
      <c r="D45" s="15" t="s">
        <v>7</v>
      </c>
      <c r="E45" s="15" t="s">
        <v>8</v>
      </c>
      <c r="F45" s="15" t="s">
        <v>5</v>
      </c>
      <c r="G45" s="15" t="s">
        <v>6</v>
      </c>
      <c r="H45" s="15" t="s">
        <v>7</v>
      </c>
      <c r="I45" s="15" t="s">
        <v>8</v>
      </c>
      <c r="J45" s="15" t="s">
        <v>5</v>
      </c>
      <c r="K45" s="15" t="s">
        <v>6</v>
      </c>
      <c r="L45" s="15" t="s">
        <v>7</v>
      </c>
      <c r="M45" s="15" t="s">
        <v>8</v>
      </c>
    </row>
    <row r="46">
      <c r="A46" s="15">
        <v>100.0</v>
      </c>
      <c r="B46" s="15">
        <v>782.0</v>
      </c>
      <c r="C46" s="15">
        <v>757.0</v>
      </c>
      <c r="D46" s="15">
        <v>739.0</v>
      </c>
      <c r="E46" s="15">
        <v>857.0</v>
      </c>
      <c r="F46" s="15">
        <v>11610.0</v>
      </c>
      <c r="G46" s="15">
        <v>11051.0</v>
      </c>
      <c r="H46" s="15">
        <v>11215.0</v>
      </c>
      <c r="I46" s="15">
        <f t="shared" ref="I46:I48" si="6">AVERAGE(F46:H46)</f>
        <v>11292</v>
      </c>
      <c r="J46" s="15">
        <v>1178.0</v>
      </c>
      <c r="K46" s="15">
        <v>1304.0</v>
      </c>
      <c r="L46" s="15">
        <v>1162.0</v>
      </c>
      <c r="M46" s="21">
        <f t="shared" ref="M46:M49" si="7">AVERAGE(J46:L46)</f>
        <v>1214.666667</v>
      </c>
    </row>
    <row r="47">
      <c r="A47" s="15">
        <v>1000.0</v>
      </c>
      <c r="B47" s="15">
        <v>2541.0</v>
      </c>
      <c r="C47" s="15">
        <v>2035.0</v>
      </c>
      <c r="D47" s="15">
        <v>1859.0</v>
      </c>
      <c r="E47" s="15">
        <v>2303.0</v>
      </c>
      <c r="F47" s="15">
        <v>116033.0</v>
      </c>
      <c r="G47" s="15">
        <v>117705.0</v>
      </c>
      <c r="H47" s="15">
        <v>113268.0</v>
      </c>
      <c r="I47" s="21">
        <f t="shared" si="6"/>
        <v>115668.6667</v>
      </c>
      <c r="J47" s="15">
        <v>1672.0</v>
      </c>
      <c r="K47" s="15">
        <v>1490.0</v>
      </c>
      <c r="L47" s="15">
        <v>1462.0</v>
      </c>
      <c r="M47" s="21">
        <f t="shared" si="7"/>
        <v>1541.333333</v>
      </c>
    </row>
    <row r="48">
      <c r="A48" s="15">
        <v>10000.0</v>
      </c>
      <c r="B48" s="15">
        <v>18068.0</v>
      </c>
      <c r="C48" s="15">
        <v>18931.0</v>
      </c>
      <c r="D48" s="15">
        <v>18114.0</v>
      </c>
      <c r="E48" s="15">
        <v>18628.0</v>
      </c>
      <c r="F48" s="15">
        <v>1102733.0</v>
      </c>
      <c r="G48" s="15">
        <v>1135648.0</v>
      </c>
      <c r="H48" s="15">
        <v>1107563.0</v>
      </c>
      <c r="I48" s="21">
        <f t="shared" si="6"/>
        <v>1115314.667</v>
      </c>
      <c r="J48" s="15">
        <v>3217.0</v>
      </c>
      <c r="K48" s="15">
        <v>3160.0</v>
      </c>
      <c r="L48" s="15">
        <v>3316.0</v>
      </c>
      <c r="M48" s="21">
        <f t="shared" si="7"/>
        <v>3231</v>
      </c>
    </row>
    <row r="49">
      <c r="A49" s="15">
        <v>100000.0</v>
      </c>
      <c r="B49" s="15">
        <v>123468.0</v>
      </c>
      <c r="C49" s="15">
        <v>131755.0</v>
      </c>
      <c r="D49" s="15">
        <v>131251.0</v>
      </c>
      <c r="E49" s="15">
        <v>124503.0</v>
      </c>
      <c r="F49" s="15" t="s">
        <v>12</v>
      </c>
      <c r="G49" s="15" t="s">
        <v>12</v>
      </c>
      <c r="H49" s="15" t="s">
        <v>12</v>
      </c>
      <c r="I49" s="15" t="s">
        <v>12</v>
      </c>
      <c r="J49" s="15">
        <v>13897.0</v>
      </c>
      <c r="K49" s="15">
        <v>13923.0</v>
      </c>
      <c r="L49" s="15">
        <v>12335.0</v>
      </c>
      <c r="M49" s="21">
        <f t="shared" si="7"/>
        <v>13385</v>
      </c>
    </row>
    <row r="50">
      <c r="A50" s="15">
        <v>1000000.0</v>
      </c>
      <c r="B50" s="15">
        <v>1062054.0</v>
      </c>
      <c r="C50" s="15">
        <v>1067512.0</v>
      </c>
      <c r="D50" s="15">
        <v>1068815.0</v>
      </c>
      <c r="E50" s="15">
        <v>1098733.0</v>
      </c>
      <c r="F50" s="15" t="s">
        <v>12</v>
      </c>
      <c r="G50" s="15" t="s">
        <v>12</v>
      </c>
      <c r="H50" s="15" t="s">
        <v>12</v>
      </c>
      <c r="I50" s="15" t="s">
        <v>12</v>
      </c>
      <c r="J50" s="21">
        <v>47639.0</v>
      </c>
      <c r="K50" s="21">
        <v>46756.0</v>
      </c>
      <c r="L50" s="21">
        <v>44198.0</v>
      </c>
      <c r="M50" s="21">
        <v>48865.0</v>
      </c>
    </row>
    <row r="51">
      <c r="A51" s="28" t="s">
        <v>32</v>
      </c>
      <c r="B51" s="29">
        <f t="shared" ref="B51:E51" si="8">(B49-B28)/B49</f>
        <v>0.5736142158</v>
      </c>
      <c r="C51" s="29">
        <f t="shared" si="8"/>
        <v>0.6451519866</v>
      </c>
      <c r="D51" s="29">
        <f t="shared" si="8"/>
        <v>0.5751803796</v>
      </c>
      <c r="E51" s="29">
        <f t="shared" si="8"/>
        <v>0.5710786085</v>
      </c>
      <c r="F51" s="34">
        <f t="shared" ref="F51:I51" si="9">(F48-B27)/F48</f>
        <v>0.9955156869</v>
      </c>
      <c r="G51" s="34">
        <f t="shared" si="9"/>
        <v>0.9962435543</v>
      </c>
      <c r="H51" s="34">
        <f t="shared" si="9"/>
        <v>0.9956011532</v>
      </c>
      <c r="I51" s="34">
        <f t="shared" si="9"/>
        <v>0.9952336321</v>
      </c>
      <c r="J51" s="35">
        <f t="shared" ref="J51:K51" si="10">(J49-$B28)/J49</f>
        <v>-2.788227675</v>
      </c>
      <c r="K51" s="35">
        <f t="shared" si="10"/>
        <v>-2.781153487</v>
      </c>
      <c r="L51" s="35">
        <f t="shared" ref="L51:M51" si="11">(L49-D28)/L49</f>
        <v>-3.520308066</v>
      </c>
      <c r="M51" s="35">
        <f t="shared" si="11"/>
        <v>-2.989689951</v>
      </c>
    </row>
    <row r="52">
      <c r="A52" s="28" t="s">
        <v>33</v>
      </c>
      <c r="B52" s="30">
        <f>(B49-$B$28)/$B$28</f>
        <v>1.34529395</v>
      </c>
      <c r="C52" s="30">
        <f>(C49-$C$28)/$C$28</f>
        <v>1.818107929</v>
      </c>
      <c r="D52" s="30">
        <f>(D49-$D$28)/$D$28</f>
        <v>1.353940242</v>
      </c>
      <c r="E52" s="30">
        <f>(E49-$E$28)/$E$28</f>
        <v>1.331429534</v>
      </c>
      <c r="F52" s="30" t="str">
        <f>(F49-$B$28)/$B$28</f>
        <v>#VALUE!</v>
      </c>
      <c r="G52" s="30" t="str">
        <f>(G49-$C$28)/$C$28</f>
        <v>#VALUE!</v>
      </c>
      <c r="H52" s="30" t="str">
        <f>(H49-$D$28)/$D$28</f>
        <v>#VALUE!</v>
      </c>
      <c r="I52" s="30" t="str">
        <f>(I49-$E$28)/$E$28</f>
        <v>#VALUE!</v>
      </c>
    </row>
    <row r="53">
      <c r="A53" s="28" t="s">
        <v>34</v>
      </c>
      <c r="B53" s="30">
        <f t="shared" ref="B53:E53" si="12">(B50-B28)/B50</f>
        <v>0.9504309574</v>
      </c>
      <c r="C53" s="30">
        <f t="shared" si="12"/>
        <v>0.956203771</v>
      </c>
      <c r="D53" s="30">
        <f t="shared" si="12"/>
        <v>0.9478319447</v>
      </c>
      <c r="E53" s="30">
        <f t="shared" si="12"/>
        <v>0.9513967452</v>
      </c>
    </row>
    <row r="55">
      <c r="A55" s="28" t="s">
        <v>35</v>
      </c>
    </row>
    <row r="56">
      <c r="A56" s="28" t="s">
        <v>36</v>
      </c>
    </row>
    <row r="57">
      <c r="A57" s="28" t="s">
        <v>37</v>
      </c>
    </row>
  </sheetData>
  <mergeCells count="28">
    <mergeCell ref="F12:I12"/>
    <mergeCell ref="J12:M12"/>
    <mergeCell ref="B23:E23"/>
    <mergeCell ref="F23:I23"/>
    <mergeCell ref="J23:M23"/>
    <mergeCell ref="O23:O24"/>
    <mergeCell ref="P23:S23"/>
    <mergeCell ref="U23:U24"/>
    <mergeCell ref="V23:Y23"/>
    <mergeCell ref="A1:M2"/>
    <mergeCell ref="A4:A5"/>
    <mergeCell ref="B4:E4"/>
    <mergeCell ref="F4:I4"/>
    <mergeCell ref="J4:M4"/>
    <mergeCell ref="B12:E12"/>
    <mergeCell ref="A20:M21"/>
    <mergeCell ref="A34:A35"/>
    <mergeCell ref="A44:A45"/>
    <mergeCell ref="B44:E44"/>
    <mergeCell ref="F44:I44"/>
    <mergeCell ref="J44:M44"/>
    <mergeCell ref="A12:A13"/>
    <mergeCell ref="A23:A24"/>
    <mergeCell ref="B34:E34"/>
    <mergeCell ref="I34:I35"/>
    <mergeCell ref="J34:M34"/>
    <mergeCell ref="O34:O35"/>
    <mergeCell ref="P34:S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4" t="s">
        <v>5</v>
      </c>
      <c r="G4" s="14" t="s">
        <v>6</v>
      </c>
      <c r="L4" s="14" t="s">
        <v>7</v>
      </c>
      <c r="Q4" s="14" t="s">
        <v>8</v>
      </c>
    </row>
    <row r="5">
      <c r="A5" s="8" t="s">
        <v>1</v>
      </c>
      <c r="B5" s="9" t="s">
        <v>38</v>
      </c>
      <c r="C5" s="12" t="s">
        <v>3</v>
      </c>
      <c r="D5" s="12" t="s">
        <v>39</v>
      </c>
      <c r="E5" s="12" t="s">
        <v>40</v>
      </c>
      <c r="F5" s="8" t="s">
        <v>1</v>
      </c>
      <c r="G5" s="9" t="s">
        <v>38</v>
      </c>
      <c r="H5" s="12" t="s">
        <v>3</v>
      </c>
      <c r="I5" s="12" t="s">
        <v>39</v>
      </c>
      <c r="J5" s="12" t="s">
        <v>40</v>
      </c>
      <c r="K5" s="8" t="s">
        <v>1</v>
      </c>
      <c r="L5" s="9" t="s">
        <v>38</v>
      </c>
      <c r="M5" s="12" t="s">
        <v>3</v>
      </c>
      <c r="N5" s="12" t="s">
        <v>39</v>
      </c>
      <c r="O5" s="12" t="s">
        <v>40</v>
      </c>
      <c r="P5" s="8" t="s">
        <v>1</v>
      </c>
      <c r="Q5" s="9" t="s">
        <v>38</v>
      </c>
      <c r="R5" s="12" t="s">
        <v>3</v>
      </c>
      <c r="S5" s="12" t="s">
        <v>39</v>
      </c>
      <c r="T5" s="12" t="s">
        <v>40</v>
      </c>
    </row>
    <row r="6">
      <c r="A6" s="14">
        <v>100.0</v>
      </c>
      <c r="B6" s="14">
        <v>297.0</v>
      </c>
      <c r="C6" s="15">
        <v>1184.0</v>
      </c>
      <c r="D6" s="15">
        <v>994.0</v>
      </c>
      <c r="E6" s="15">
        <v>782.0</v>
      </c>
      <c r="F6" s="14">
        <v>100.0</v>
      </c>
      <c r="G6" s="14">
        <v>291.0</v>
      </c>
      <c r="H6" s="15">
        <v>1063.0</v>
      </c>
      <c r="I6" s="15">
        <v>1117.0</v>
      </c>
      <c r="J6" s="15">
        <v>757.0</v>
      </c>
      <c r="K6" s="14">
        <v>100.0</v>
      </c>
      <c r="L6" s="14">
        <v>333.0</v>
      </c>
      <c r="M6" s="15">
        <v>1224.0</v>
      </c>
      <c r="N6" s="15">
        <v>934.0</v>
      </c>
      <c r="O6" s="15">
        <v>739.0</v>
      </c>
      <c r="P6" s="14">
        <v>100.0</v>
      </c>
      <c r="Q6" s="14">
        <v>365.0</v>
      </c>
      <c r="R6" s="15">
        <v>1291.0</v>
      </c>
      <c r="S6" s="15">
        <v>1132.0</v>
      </c>
      <c r="T6" s="15">
        <v>857.0</v>
      </c>
    </row>
    <row r="7">
      <c r="A7" s="14">
        <v>1000.0</v>
      </c>
      <c r="B7" s="14">
        <v>698.0</v>
      </c>
      <c r="C7" s="15">
        <v>1571.0</v>
      </c>
      <c r="D7" s="15">
        <v>1340.0</v>
      </c>
      <c r="E7" s="15">
        <v>2541.0</v>
      </c>
      <c r="F7" s="14">
        <v>1000.0</v>
      </c>
      <c r="G7" s="14">
        <v>743.0</v>
      </c>
      <c r="H7" s="15">
        <v>1410.0</v>
      </c>
      <c r="I7" s="15">
        <v>1434.0</v>
      </c>
      <c r="J7" s="15">
        <v>2035.0</v>
      </c>
      <c r="K7" s="14">
        <v>1000.0</v>
      </c>
      <c r="L7" s="14">
        <v>750.0</v>
      </c>
      <c r="M7" s="15">
        <v>1453.0</v>
      </c>
      <c r="N7" s="15">
        <v>1425.0</v>
      </c>
      <c r="O7" s="15">
        <v>1859.0</v>
      </c>
      <c r="P7" s="14">
        <v>1000.0</v>
      </c>
      <c r="Q7" s="14">
        <v>731.0</v>
      </c>
      <c r="R7" s="15">
        <v>1642.0</v>
      </c>
      <c r="S7" s="15">
        <v>1594.0</v>
      </c>
      <c r="T7" s="15">
        <v>2303.0</v>
      </c>
    </row>
    <row r="8">
      <c r="A8" s="14">
        <v>10000.0</v>
      </c>
      <c r="B8" s="14">
        <v>4945.0</v>
      </c>
      <c r="C8" s="15">
        <v>7230.0</v>
      </c>
      <c r="D8" s="15">
        <v>7237.0</v>
      </c>
      <c r="E8" s="15">
        <v>18068.0</v>
      </c>
      <c r="F8" s="14">
        <v>10000.0</v>
      </c>
      <c r="G8" s="14">
        <v>4266.0</v>
      </c>
      <c r="H8" s="15">
        <v>7602.0</v>
      </c>
      <c r="I8" s="15">
        <v>7837.0</v>
      </c>
      <c r="J8" s="15">
        <v>18931.0</v>
      </c>
      <c r="K8" s="14">
        <v>10000.0</v>
      </c>
      <c r="L8" s="14">
        <v>4872.0</v>
      </c>
      <c r="M8" s="15">
        <v>7170.0</v>
      </c>
      <c r="N8" s="15">
        <v>7115.0</v>
      </c>
      <c r="O8" s="15">
        <v>18114.0</v>
      </c>
      <c r="P8" s="14">
        <v>10000.0</v>
      </c>
      <c r="Q8" s="14">
        <v>5316.0</v>
      </c>
      <c r="R8" s="15">
        <v>8623.0</v>
      </c>
      <c r="S8" s="15">
        <v>7572.0</v>
      </c>
      <c r="T8" s="15">
        <v>18628.0</v>
      </c>
    </row>
    <row r="9">
      <c r="A9" s="14">
        <v>100000.0</v>
      </c>
      <c r="B9" s="14">
        <v>52645.0</v>
      </c>
      <c r="C9" s="15">
        <v>64654.0</v>
      </c>
      <c r="D9" s="15">
        <v>62042.0</v>
      </c>
      <c r="E9" s="15">
        <v>123468.0</v>
      </c>
      <c r="F9" s="14">
        <v>100000.0</v>
      </c>
      <c r="G9" s="14">
        <v>46753.0</v>
      </c>
      <c r="H9" s="15">
        <v>68393.0</v>
      </c>
      <c r="I9" s="15">
        <v>69399.0</v>
      </c>
      <c r="J9" s="15">
        <v>131755.0</v>
      </c>
      <c r="K9" s="14">
        <v>100000.0</v>
      </c>
      <c r="L9" s="14">
        <v>55758.0</v>
      </c>
      <c r="M9" s="15">
        <v>65397.0</v>
      </c>
      <c r="N9" s="15">
        <v>61291.0</v>
      </c>
      <c r="O9" s="15">
        <v>131251.0</v>
      </c>
      <c r="P9" s="14">
        <v>100000.0</v>
      </c>
      <c r="Q9" s="14">
        <v>53402.0</v>
      </c>
      <c r="R9" s="15">
        <v>69672.0</v>
      </c>
      <c r="S9" s="15">
        <v>71779.0</v>
      </c>
      <c r="T9" s="15">
        <v>124503.0</v>
      </c>
    </row>
    <row r="10">
      <c r="A10" s="14">
        <v>1000000.0</v>
      </c>
      <c r="B10" s="14">
        <v>452144.0</v>
      </c>
      <c r="C10" s="15">
        <v>597261.0</v>
      </c>
      <c r="D10" s="15">
        <v>610385.0</v>
      </c>
      <c r="E10" s="15">
        <v>1062054.0</v>
      </c>
      <c r="F10" s="14">
        <v>1000000.0</v>
      </c>
      <c r="G10" s="14">
        <v>412353.0</v>
      </c>
      <c r="H10" s="15">
        <v>619365.0</v>
      </c>
      <c r="I10" s="15">
        <v>640286.0</v>
      </c>
      <c r="J10" s="15">
        <v>1067512.0</v>
      </c>
      <c r="K10" s="14">
        <v>1000000.0</v>
      </c>
      <c r="L10" s="14">
        <v>492762.0</v>
      </c>
      <c r="M10" s="15">
        <v>607462.0</v>
      </c>
      <c r="N10" s="15">
        <v>592012.0</v>
      </c>
      <c r="O10" s="15">
        <v>1068815.0</v>
      </c>
      <c r="P10" s="14">
        <v>1000000.0</v>
      </c>
      <c r="Q10" s="14">
        <v>489674.0</v>
      </c>
      <c r="R10" s="15">
        <v>648274.0</v>
      </c>
      <c r="S10" s="15">
        <v>683927.0</v>
      </c>
      <c r="T10" s="15">
        <v>1098733.0</v>
      </c>
    </row>
  </sheetData>
  <drawing r:id="rId1"/>
</worksheet>
</file>